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材料明細" sheetId="1" state="visible" r:id="rId1"/>
    <sheet name="材料彙總" sheetId="2" state="visible" r:id="rId2"/>
  </sheets>
  <definedNames>
    <definedName name="_xlnm._FilterDatabase" localSheetId="0" hidden="1">'材料明細'!$A$4:$J$8</definedName>
    <definedName name="_xlnm.Print_Titles" localSheetId="0">'材料明細'!$1:$4</definedName>
    <definedName name="_xlnm._FilterDatabase" localSheetId="1" hidden="1">'材料彙總'!$A$4:$F$7</definedName>
    <definedName name="_xlnm.Print_Titles" localSheetId="1">'材料彙總'!$1:$4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#,##0.##"/>
  </numFmts>
  <fonts count="5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b val="1"/>
      <color rgb="0017365D"/>
    </font>
    <font>
      <name val="Microsoft JhengHei"/>
      <color rgb="001F2937"/>
      <sz val="10"/>
    </font>
    <font>
      <name val="Microsoft JhengHe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bottom style="medium">
        <color rgb="009FBAD0"/>
      </bottom>
    </border>
    <border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left" vertical="center"/>
    </xf>
    <xf numFmtId="166" fontId="3" fillId="0" borderId="0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166" fontId="3" fillId="0" borderId="0" applyAlignment="1" pivotButton="0" quotePrefix="0" xfId="0">
      <alignment horizontal="right" vertical="center"/>
    </xf>
  </cellXfs>
  <cellStyles count="1">
    <cellStyle name="Normal" xfId="0" builtinId="0" hidden="0"/>
  </cellStyles>
  <dxfs count="1">
    <dxf>
      <font>
        <name val="Microsoft JhengHei"/>
        <b val="1"/>
        <color rgb="00B91C1C"/>
      </font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MaterialDetailsTable" displayName="MaterialDetailsTable" ref="A4:J8" headerRowCount="1">
  <autoFilter ref="A4:J8"/>
  <tableColumns count="10">
    <tableColumn id="1" name="序號"/>
    <tableColumn id="2" name="材料用途"/>
    <tableColumn id="3" name="所屬構件編號"/>
    <tableColumn id="4" name="成果方案"/>
    <tableColumn id="5" name="分區"/>
    <tableColumn id="6" name="構件內段次"/>
    <tableColumn id="7" name="材料類型"/>
    <tableColumn id="8" name="材料規格"/>
    <tableColumn id="9" name="長度(mm)"/>
    <tableColumn id="10" name="數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aterialSummaryTable" displayName="MaterialSummaryTable" ref="A4:F7" headerRowCount="1">
  <autoFilter ref="A4:F7"/>
  <tableColumns count="6">
    <tableColumn id="1" name="材料用途"/>
    <tableColumn id="2" name="材料規格"/>
    <tableColumn id="3" name="長度(mm)"/>
    <tableColumn id="4" name="使用數量"/>
    <tableColumn id="5" name="庫存數量"/>
    <tableColumn id="6" name="剩餘數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22" customWidth="1" min="4" max="4"/>
    <col width="14" customWidth="1" min="5" max="5"/>
    <col width="12" customWidth="1" min="6" max="6"/>
    <col width="14" customWidth="1" min="7" max="7"/>
    <col width="22" customWidth="1" min="8" max="8"/>
    <col width="14" customWidth="1" min="9" max="9"/>
    <col width="10" customWidth="1" min="10" max="10"/>
  </cols>
  <sheetData>
    <row r="1" ht="30" customHeight="1">
      <c r="A1" s="1" t="inlineStr">
        <is>
          <t>Y1A站第一層支撐－配置材料明細</t>
        </is>
      </c>
    </row>
    <row r="2" ht="24" customHeight="1">
      <c r="A2" s="2" t="inlineStr">
        <is>
          <t>專案</t>
        </is>
      </c>
      <c r="B2" s="3" t="inlineStr">
        <is>
          <t>Y1A站第一層支撐</t>
        </is>
      </c>
      <c r="D2" s="2" t="inlineStr">
        <is>
          <t>匯出時間</t>
        </is>
      </c>
      <c r="E2" s="4" t="n">
        <v>46276.56412977146</v>
      </c>
      <c r="H2" s="2" t="inlineStr">
        <is>
          <t>材料總數</t>
        </is>
      </c>
      <c r="I2" s="5">
        <f>SUM(J5:J8)</f>
        <v/>
      </c>
    </row>
    <row r="4" ht="24" customHeight="1">
      <c r="A4" s="6" t="inlineStr">
        <is>
          <t>序號</t>
        </is>
      </c>
      <c r="B4" s="6" t="inlineStr">
        <is>
          <t>材料用途</t>
        </is>
      </c>
      <c r="C4" s="6" t="inlineStr">
        <is>
          <t>所屬構件編號</t>
        </is>
      </c>
      <c r="D4" s="6" t="inlineStr">
        <is>
          <t>成果方案</t>
        </is>
      </c>
      <c r="E4" s="6" t="inlineStr">
        <is>
          <t>分區</t>
        </is>
      </c>
      <c r="F4" s="6" t="inlineStr">
        <is>
          <t>構件內段次</t>
        </is>
      </c>
      <c r="G4" s="6" t="inlineStr">
        <is>
          <t>材料類型</t>
        </is>
      </c>
      <c r="H4" s="6" t="inlineStr">
        <is>
          <t>材料規格</t>
        </is>
      </c>
      <c r="I4" s="6" t="inlineStr">
        <is>
          <t>長度(mm)</t>
        </is>
      </c>
      <c r="J4" s="6" t="inlineStr">
        <is>
          <t>數量</t>
        </is>
      </c>
    </row>
    <row r="5">
      <c r="A5" s="7" t="n">
        <v>1</v>
      </c>
      <c r="B5" s="7" t="inlineStr">
        <is>
          <t>圍令</t>
        </is>
      </c>
      <c r="C5" s="8" t="inlineStr">
        <is>
          <t>W1</t>
        </is>
      </c>
      <c r="D5" s="8" t="inlineStr">
        <is>
          <t>W1-方案1</t>
        </is>
      </c>
      <c r="E5" s="7" t="inlineStr">
        <is>
          <t>—</t>
        </is>
      </c>
      <c r="F5" s="7" t="n">
        <v>1</v>
      </c>
      <c r="G5" s="7" t="inlineStr">
        <is>
          <t>鋼材</t>
        </is>
      </c>
      <c r="H5" s="8" t="inlineStr">
        <is>
          <t>未設定</t>
        </is>
      </c>
      <c r="I5" s="9" t="n">
        <v>5500</v>
      </c>
      <c r="J5" s="9" t="n">
        <v>1</v>
      </c>
    </row>
    <row r="6">
      <c r="A6" s="7" t="n">
        <v>2</v>
      </c>
      <c r="B6" s="7" t="inlineStr">
        <is>
          <t>圍令</t>
        </is>
      </c>
      <c r="C6" s="8" t="inlineStr">
        <is>
          <t>W1</t>
        </is>
      </c>
      <c r="D6" s="8" t="inlineStr">
        <is>
          <t>W1-方案1</t>
        </is>
      </c>
      <c r="E6" s="7" t="inlineStr">
        <is>
          <t>—</t>
        </is>
      </c>
      <c r="F6" s="7" t="n">
        <v>2</v>
      </c>
      <c r="G6" s="7" t="inlineStr">
        <is>
          <t>鋼材</t>
        </is>
      </c>
      <c r="H6" s="8" t="inlineStr">
        <is>
          <t>未設定</t>
        </is>
      </c>
      <c r="I6" s="9" t="n">
        <v>8000</v>
      </c>
      <c r="J6" s="9" t="n">
        <v>1</v>
      </c>
    </row>
    <row r="7">
      <c r="A7" s="7" t="n">
        <v>3</v>
      </c>
      <c r="B7" s="7" t="inlineStr">
        <is>
          <t>圍令</t>
        </is>
      </c>
      <c r="C7" s="8" t="inlineStr">
        <is>
          <t>W1</t>
        </is>
      </c>
      <c r="D7" s="8" t="inlineStr">
        <is>
          <t>W1-方案1</t>
        </is>
      </c>
      <c r="E7" s="7" t="inlineStr">
        <is>
          <t>—</t>
        </is>
      </c>
      <c r="F7" s="7" t="n">
        <v>3</v>
      </c>
      <c r="G7" s="7" t="inlineStr">
        <is>
          <t>鋼材</t>
        </is>
      </c>
      <c r="H7" s="8" t="inlineStr">
        <is>
          <t>未設定</t>
        </is>
      </c>
      <c r="I7" s="9" t="n">
        <v>8500</v>
      </c>
      <c r="J7" s="9" t="n">
        <v>1</v>
      </c>
    </row>
    <row r="8">
      <c r="A8" s="7" t="n">
        <v>4</v>
      </c>
      <c r="B8" s="7" t="inlineStr">
        <is>
          <t>圍令</t>
        </is>
      </c>
      <c r="C8" s="8" t="inlineStr">
        <is>
          <t>W1</t>
        </is>
      </c>
      <c r="D8" s="8" t="inlineStr">
        <is>
          <t>W1-方案1</t>
        </is>
      </c>
      <c r="E8" s="7" t="inlineStr">
        <is>
          <t>—</t>
        </is>
      </c>
      <c r="F8" s="7" t="n">
        <v>4</v>
      </c>
      <c r="G8" s="7" t="inlineStr">
        <is>
          <t>調整塊</t>
        </is>
      </c>
      <c r="H8" s="8" t="inlineStr">
        <is>
          <t>未設定</t>
        </is>
      </c>
      <c r="I8" s="9" t="n">
        <v>200</v>
      </c>
      <c r="J8" s="9" t="n">
        <v>1</v>
      </c>
    </row>
  </sheetData>
  <autoFilter ref="A4:J8"/>
  <mergeCells count="4">
    <mergeCell ref="A1:J1"/>
    <mergeCell ref="E2:G2"/>
    <mergeCell ref="B2:C2"/>
    <mergeCell ref="I2:J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" t="inlineStr">
        <is>
          <t>Y1A站第一層支撐－材料用量與庫存彙總</t>
        </is>
      </c>
    </row>
    <row r="2" ht="24" customHeight="1">
      <c r="A2" s="2" t="inlineStr">
        <is>
          <t>專案</t>
        </is>
      </c>
      <c r="B2" s="3" t="inlineStr">
        <is>
          <t>Y1A站第一層支撐</t>
        </is>
      </c>
      <c r="D2" s="2" t="inlineStr">
        <is>
          <t>匯出時間</t>
        </is>
      </c>
      <c r="E2" s="4" t="n">
        <v>46276.56412977146</v>
      </c>
    </row>
    <row r="4" ht="24" customHeight="1">
      <c r="A4" s="6" t="inlineStr">
        <is>
          <t>材料用途</t>
        </is>
      </c>
      <c r="B4" s="6" t="inlineStr">
        <is>
          <t>材料規格</t>
        </is>
      </c>
      <c r="C4" s="6" t="inlineStr">
        <is>
          <t>長度(mm)</t>
        </is>
      </c>
      <c r="D4" s="6" t="inlineStr">
        <is>
          <t>使用數量</t>
        </is>
      </c>
      <c r="E4" s="6" t="inlineStr">
        <is>
          <t>庫存數量</t>
        </is>
      </c>
      <c r="F4" s="6" t="inlineStr">
        <is>
          <t>剩餘數量</t>
        </is>
      </c>
    </row>
    <row r="5">
      <c r="A5" s="7" t="inlineStr">
        <is>
          <t>圍令</t>
        </is>
      </c>
      <c r="B5" s="8" t="inlineStr">
        <is>
          <t>未設定</t>
        </is>
      </c>
      <c r="C5" s="9" t="n">
        <v>5500</v>
      </c>
      <c r="D5" s="9" t="n">
        <v>1</v>
      </c>
      <c r="E5" s="9" t="n">
        <v>99</v>
      </c>
      <c r="F5" s="9" t="n">
        <v>99</v>
      </c>
    </row>
    <row r="6">
      <c r="A6" s="7" t="inlineStr">
        <is>
          <t>圍令</t>
        </is>
      </c>
      <c r="B6" s="8" t="inlineStr">
        <is>
          <t>未設定</t>
        </is>
      </c>
      <c r="C6" s="9" t="n">
        <v>8000</v>
      </c>
      <c r="D6" s="9" t="n">
        <v>1</v>
      </c>
      <c r="E6" s="9" t="n">
        <v>99</v>
      </c>
      <c r="F6" s="9" t="n">
        <v>99</v>
      </c>
    </row>
    <row r="7">
      <c r="A7" s="7" t="inlineStr">
        <is>
          <t>圍令</t>
        </is>
      </c>
      <c r="B7" s="8" t="inlineStr">
        <is>
          <t>未設定</t>
        </is>
      </c>
      <c r="C7" s="9" t="n">
        <v>8500</v>
      </c>
      <c r="D7" s="9" t="n">
        <v>1</v>
      </c>
      <c r="E7" s="9" t="n">
        <v>99</v>
      </c>
      <c r="F7" s="9" t="n">
        <v>99</v>
      </c>
    </row>
  </sheetData>
  <autoFilter ref="A4:F7"/>
  <mergeCells count="3">
    <mergeCell ref="E2:F2"/>
    <mergeCell ref="B2:C2"/>
    <mergeCell ref="A1:F1"/>
  </mergeCells>
  <conditionalFormatting sqref="F5:F7">
    <cfRule type="cellIs" priority="1" operator="lessThan" dxfId="0">
      <formula>0</formula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Support Distribution UV</dc:creator>
  <dc:title>Y1A站第一層支撐－配置材料明細</dc:title>
  <dc:subject>目前顯示配置成果的逐根材料明細與庫存彙總</dc:subject>
  <dcterms:created xsi:type="dcterms:W3CDTF">2026-09-11T05:32:20Z</dcterms:created>
  <dcterms:modified xsi:type="dcterms:W3CDTF">2026-09-11T05:32:20Z</dcterms:modified>
</cp:coreProperties>
</file>